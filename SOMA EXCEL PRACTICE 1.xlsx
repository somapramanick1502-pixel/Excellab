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ena Pramanick\Desktop\SOMA\"/>
    </mc:Choice>
  </mc:AlternateContent>
  <xr:revisionPtr revIDLastSave="0" documentId="13_ncr:1_{C38E2870-C765-4549-BE3E-732CBDACA27D}" xr6:coauthVersionLast="47" xr6:coauthVersionMax="47" xr10:uidLastSave="{00000000-0000-0000-0000-000000000000}"/>
  <bookViews>
    <workbookView xWindow="-108" yWindow="-108" windowWidth="23256" windowHeight="12456" activeTab="4" xr2:uid="{50EBC332-62B0-4FE6-96B8-863DFCD46166}"/>
  </bookViews>
  <sheets>
    <sheet name="Sheet2" sheetId="2" r:id="rId1"/>
    <sheet name="Sheet3" sheetId="3" r:id="rId2"/>
    <sheet name="Sheet5" sheetId="5" r:id="rId3"/>
    <sheet name="Sheet4" sheetId="4" r:id="rId4"/>
    <sheet name="Sheet1" sheetId="6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6" l="1"/>
  <c r="C40" i="6"/>
  <c r="B40" i="6"/>
  <c r="D53" i="6"/>
  <c r="C53" i="6"/>
  <c r="B53" i="6"/>
  <c r="D27" i="6"/>
  <c r="C27" i="6"/>
  <c r="B27" i="6"/>
  <c r="E52" i="6"/>
  <c r="E51" i="6"/>
  <c r="E50" i="6"/>
  <c r="E49" i="6"/>
  <c r="E48" i="6"/>
  <c r="E47" i="6"/>
  <c r="E46" i="6"/>
  <c r="E45" i="6"/>
  <c r="E39" i="6"/>
  <c r="E38" i="6"/>
  <c r="E37" i="6"/>
  <c r="E36" i="6"/>
  <c r="E35" i="6"/>
  <c r="E34" i="6"/>
  <c r="E33" i="6"/>
  <c r="E32" i="6"/>
  <c r="E19" i="6"/>
  <c r="E25" i="6"/>
  <c r="E26" i="6"/>
  <c r="E20" i="6"/>
  <c r="E21" i="6"/>
  <c r="E22" i="6"/>
  <c r="E23" i="6"/>
  <c r="E24" i="6"/>
  <c r="F3" i="6"/>
  <c r="F4" i="6"/>
  <c r="F5" i="6"/>
  <c r="F6" i="6"/>
  <c r="F7" i="6"/>
  <c r="F8" i="6"/>
  <c r="F9" i="6"/>
  <c r="F10" i="6"/>
  <c r="F11" i="6"/>
  <c r="F12" i="6"/>
  <c r="F2" i="6"/>
</calcChain>
</file>

<file path=xl/sharedStrings.xml><?xml version="1.0" encoding="utf-8"?>
<sst xmlns="http://schemas.openxmlformats.org/spreadsheetml/2006/main" count="153" uniqueCount="74">
  <si>
    <t>NAME</t>
  </si>
  <si>
    <t>TEAM NAME</t>
  </si>
  <si>
    <t>SOMA</t>
  </si>
  <si>
    <t>MANGO</t>
  </si>
  <si>
    <t>RAHUL</t>
  </si>
  <si>
    <t>NIKHIL</t>
  </si>
  <si>
    <t>SNEHA</t>
  </si>
  <si>
    <t>ANITA</t>
  </si>
  <si>
    <t>SOMYA</t>
  </si>
  <si>
    <t>VARSHA</t>
  </si>
  <si>
    <t>APPLE</t>
  </si>
  <si>
    <t>ASHWIN</t>
  </si>
  <si>
    <t>VAYU</t>
  </si>
  <si>
    <t>SAMRAT</t>
  </si>
  <si>
    <t>ANSH</t>
  </si>
  <si>
    <t>VINITA</t>
  </si>
  <si>
    <t>CHARU</t>
  </si>
  <si>
    <t>AVVYA</t>
  </si>
  <si>
    <t>GRAPES</t>
  </si>
  <si>
    <t>SANTOSH</t>
  </si>
  <si>
    <t>WEELER</t>
  </si>
  <si>
    <t>ANDRU</t>
  </si>
  <si>
    <t>SATYA</t>
  </si>
  <si>
    <t>BILLY</t>
  </si>
  <si>
    <t>ERIC</t>
  </si>
  <si>
    <t>MAX</t>
  </si>
  <si>
    <t>ORANGES</t>
  </si>
  <si>
    <t>JAL</t>
  </si>
  <si>
    <t>RAILEY</t>
  </si>
  <si>
    <t>ANNA</t>
  </si>
  <si>
    <t>OWEN</t>
  </si>
  <si>
    <t>PRIYA</t>
  </si>
  <si>
    <t>Row Labels</t>
  </si>
  <si>
    <t>Grand Total</t>
  </si>
  <si>
    <t>Sum of CORRECT ANS</t>
  </si>
  <si>
    <t>Sum of INCORRECT ANS</t>
  </si>
  <si>
    <t>Sum of TOTAL</t>
  </si>
  <si>
    <t>Sum of PERCENTAGE</t>
  </si>
  <si>
    <t>YES</t>
  </si>
  <si>
    <t>NO</t>
  </si>
  <si>
    <t>MAYBE</t>
  </si>
  <si>
    <t>STATUS</t>
  </si>
  <si>
    <t>YEAR</t>
  </si>
  <si>
    <t>SALES</t>
  </si>
  <si>
    <t>TARGET</t>
  </si>
  <si>
    <t xml:space="preserve">NAME </t>
  </si>
  <si>
    <t>SUBJECT</t>
  </si>
  <si>
    <t>MARKS</t>
  </si>
  <si>
    <t>REQUIRED</t>
  </si>
  <si>
    <t>PASS/FAIL</t>
  </si>
  <si>
    <t>ANURADHA</t>
  </si>
  <si>
    <t>RAUL</t>
  </si>
  <si>
    <t>NARAYAN</t>
  </si>
  <si>
    <t>VIRAJ</t>
  </si>
  <si>
    <t>ANAGANDHA</t>
  </si>
  <si>
    <t>AMOL</t>
  </si>
  <si>
    <t>GAYATRI</t>
  </si>
  <si>
    <t>HERA</t>
  </si>
  <si>
    <t>MANISHA</t>
  </si>
  <si>
    <t>MATHS</t>
  </si>
  <si>
    <t>OUT OFF</t>
  </si>
  <si>
    <t>SOMA PRAMANICK</t>
  </si>
  <si>
    <t>ENGLISH</t>
  </si>
  <si>
    <t>HISTORY</t>
  </si>
  <si>
    <t>GEOGRAPHY</t>
  </si>
  <si>
    <t>SCIENCE</t>
  </si>
  <si>
    <t>P.T</t>
  </si>
  <si>
    <t>MARATHI</t>
  </si>
  <si>
    <t>HINDI</t>
  </si>
  <si>
    <t>RANK</t>
  </si>
  <si>
    <t>1st</t>
  </si>
  <si>
    <t xml:space="preserve">12th </t>
  </si>
  <si>
    <t>TOTAL</t>
  </si>
  <si>
    <t xml:space="preserve">15TH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</si>
</sst>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radley Hand ITC"/>
      <family val="4"/>
    </font>
    <font>
      <sz val="11"/>
      <name val="Calibri"/>
      <family val="2"/>
      <scheme val="minor"/>
    </font>
    <font>
      <sz val="20"/>
      <color theme="1"/>
      <name val="Arial Black"/>
      <family val="2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1" applyFont="1" applyBorder="1" applyAlignment="1">
      <alignment horizontal="center"/>
    </xf>
    <xf numFmtId="0" fontId="2" fillId="0" borderId="0" xfId="0" applyFont="1"/>
    <xf numFmtId="17" fontId="3" fillId="0" borderId="1" xfId="0" applyNumberFormat="1" applyFont="1" applyBorder="1"/>
    <xf numFmtId="0" fontId="0" fillId="0" borderId="1" xfId="2" applyNumberFormat="1" applyFont="1" applyBorder="1"/>
    <xf numFmtId="0" fontId="4" fillId="3" borderId="1" xfId="0" applyFont="1" applyFill="1" applyBorder="1"/>
    <xf numFmtId="0" fontId="5" fillId="0" borderId="0" xfId="0" applyFont="1" applyFill="1" applyBorder="1" applyAlignment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textRotation="45"/>
    </xf>
    <xf numFmtId="0" fontId="0" fillId="3" borderId="1" xfId="0" applyFill="1" applyBorder="1" applyAlignment="1">
      <alignment horizontal="center" vertical="center" textRotation="45"/>
    </xf>
    <xf numFmtId="0" fontId="0" fillId="0" borderId="0" xfId="0" applyFill="1" applyBorder="1" applyAlignment="1">
      <alignment horizontal="center" vertical="center" textRotation="45"/>
    </xf>
    <xf numFmtId="0" fontId="0" fillId="3" borderId="1" xfId="0" applyFill="1" applyBorder="1"/>
  </cellXfs>
  <cellStyles count="3">
    <cellStyle name="60% - Accent4" xfId="1" builtinId="44"/>
    <cellStyle name="Normal" xfId="0" builtinId="0"/>
    <cellStyle name="Percent" xfId="2" builtinId="5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ont>
        <b val="0"/>
        <i val="0"/>
      </font>
      <fill>
        <patternFill>
          <bgColor rgb="FFFF000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13648293963254"/>
          <c:y val="2.5428331875182269E-2"/>
          <c:w val="0.86486351706036746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Sheet4!$A$2:$A$5</c:f>
              <c:numCache>
                <c:formatCode>mmm\-yy</c:formatCode>
                <c:ptCount val="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</c:numCache>
            </c:numRef>
          </c:cat>
          <c:val>
            <c:numRef>
              <c:f>Sheet4!$B$2:$B$5</c:f>
              <c:numCache>
                <c:formatCode>General</c:formatCode>
                <c:ptCount val="4"/>
                <c:pt idx="0">
                  <c:v>50000</c:v>
                </c:pt>
                <c:pt idx="1">
                  <c:v>65000</c:v>
                </c:pt>
                <c:pt idx="2">
                  <c:v>48000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8-4DE5-802B-6173CF011C9E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Sheet4!$A$2:$A$5</c:f>
              <c:numCache>
                <c:formatCode>mmm\-yy</c:formatCode>
                <c:ptCount val="4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</c:numCache>
            </c:numRef>
          </c:cat>
          <c:val>
            <c:numRef>
              <c:f>Sheet4!$C$2:$C$5</c:f>
              <c:numCache>
                <c:formatCode>General</c:formatCode>
                <c:ptCount val="4"/>
                <c:pt idx="0">
                  <c:v>45000</c:v>
                </c:pt>
                <c:pt idx="1">
                  <c:v>58000</c:v>
                </c:pt>
                <c:pt idx="2">
                  <c:v>74000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8-4DE5-802B-6173CF011C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272789568"/>
        <c:axId val="1272787648"/>
      </c:barChart>
      <c:dateAx>
        <c:axId val="1272789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7648"/>
        <c:crosses val="autoZero"/>
        <c:auto val="1"/>
        <c:lblOffset val="100"/>
        <c:baseTimeUnit val="months"/>
      </c:dateAx>
      <c:valAx>
        <c:axId val="12727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895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Sheet1!$A$19:$A$26</c:f>
              <c:strCache>
                <c:ptCount val="8"/>
                <c:pt idx="0">
                  <c:v>ENGLISH</c:v>
                </c:pt>
                <c:pt idx="1">
                  <c:v>MATHS</c:v>
                </c:pt>
                <c:pt idx="2">
                  <c:v>HISTORY</c:v>
                </c:pt>
                <c:pt idx="3">
                  <c:v>GEOGRAPHY</c:v>
                </c:pt>
                <c:pt idx="4">
                  <c:v>SCIENCE</c:v>
                </c:pt>
                <c:pt idx="5">
                  <c:v>MARATHI</c:v>
                </c:pt>
                <c:pt idx="6">
                  <c:v>HINDI</c:v>
                </c:pt>
                <c:pt idx="7">
                  <c:v>P.T</c:v>
                </c:pt>
              </c:strCache>
            </c:strRef>
          </c:cat>
          <c:val>
            <c:numRef>
              <c:f>Sheet1!$B$19:$B$26</c:f>
              <c:numCache>
                <c:formatCode>General</c:formatCode>
                <c:ptCount val="8"/>
                <c:pt idx="0">
                  <c:v>56</c:v>
                </c:pt>
                <c:pt idx="1">
                  <c:v>74</c:v>
                </c:pt>
                <c:pt idx="2">
                  <c:v>68</c:v>
                </c:pt>
                <c:pt idx="3">
                  <c:v>79</c:v>
                </c:pt>
                <c:pt idx="4">
                  <c:v>76</c:v>
                </c:pt>
                <c:pt idx="5">
                  <c:v>59</c:v>
                </c:pt>
                <c:pt idx="6">
                  <c:v>64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1-49A7-9E53-880BA5EAE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477344"/>
        <c:axId val="253765328"/>
      </c:barChart>
      <c:catAx>
        <c:axId val="126477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5328"/>
        <c:crosses val="autoZero"/>
        <c:auto val="1"/>
        <c:lblAlgn val="ctr"/>
        <c:lblOffset val="100"/>
        <c:noMultiLvlLbl val="0"/>
      </c:catAx>
      <c:valAx>
        <c:axId val="2537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SOMA</a:t>
                </a:r>
                <a:r>
                  <a:rPr lang="en-IN" baseline="0"/>
                  <a:t> PRAMANICK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Sheet1!$A$32:$A$39</c:f>
              <c:strCache>
                <c:ptCount val="8"/>
                <c:pt idx="0">
                  <c:v>ENGLISH</c:v>
                </c:pt>
                <c:pt idx="1">
                  <c:v>MATHS</c:v>
                </c:pt>
                <c:pt idx="2">
                  <c:v>HISTORY</c:v>
                </c:pt>
                <c:pt idx="3">
                  <c:v>GEOGRAPHY</c:v>
                </c:pt>
                <c:pt idx="4">
                  <c:v>SCIENCE</c:v>
                </c:pt>
                <c:pt idx="5">
                  <c:v>MARATHI</c:v>
                </c:pt>
                <c:pt idx="6">
                  <c:v>HINDI</c:v>
                </c:pt>
                <c:pt idx="7">
                  <c:v>P.T</c:v>
                </c:pt>
              </c:strCache>
            </c:strRef>
          </c:cat>
          <c:val>
            <c:numRef>
              <c:f>Sheet1!$B$32:$B$39</c:f>
              <c:numCache>
                <c:formatCode>General</c:formatCode>
                <c:ptCount val="8"/>
                <c:pt idx="0">
                  <c:v>50</c:v>
                </c:pt>
                <c:pt idx="1">
                  <c:v>23</c:v>
                </c:pt>
                <c:pt idx="2">
                  <c:v>25</c:v>
                </c:pt>
                <c:pt idx="3">
                  <c:v>55</c:v>
                </c:pt>
                <c:pt idx="4">
                  <c:v>62</c:v>
                </c:pt>
                <c:pt idx="5">
                  <c:v>39</c:v>
                </c:pt>
                <c:pt idx="6">
                  <c:v>43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B-4232-9E78-EBE90F91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982352"/>
        <c:axId val="330234304"/>
      </c:barChart>
      <c:catAx>
        <c:axId val="20649823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34304"/>
        <c:crosses val="autoZero"/>
        <c:auto val="1"/>
        <c:lblAlgn val="ctr"/>
        <c:lblOffset val="100"/>
        <c:noMultiLvlLbl val="0"/>
      </c:catAx>
      <c:valAx>
        <c:axId val="3302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Arial Black" panose="020B0A04020102020204" pitchFamily="34" charset="0"/>
                  </a:rPr>
                  <a:t>VIRAJ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Sheet1!$A$45:$A$52</c:f>
              <c:strCache>
                <c:ptCount val="8"/>
                <c:pt idx="0">
                  <c:v>ENGLISH</c:v>
                </c:pt>
                <c:pt idx="1">
                  <c:v>MATHS</c:v>
                </c:pt>
                <c:pt idx="2">
                  <c:v>HISTORY</c:v>
                </c:pt>
                <c:pt idx="3">
                  <c:v>GEOGRAPHY</c:v>
                </c:pt>
                <c:pt idx="4">
                  <c:v>SCIENCE</c:v>
                </c:pt>
                <c:pt idx="5">
                  <c:v>MARATHI</c:v>
                </c:pt>
                <c:pt idx="6">
                  <c:v>HINDI</c:v>
                </c:pt>
                <c:pt idx="7">
                  <c:v>P.T</c:v>
                </c:pt>
              </c:strCache>
            </c:strRef>
          </c:cat>
          <c:val>
            <c:numRef>
              <c:f>Sheet1!$B$45:$B$52</c:f>
              <c:numCache>
                <c:formatCode>General</c:formatCode>
                <c:ptCount val="8"/>
                <c:pt idx="0">
                  <c:v>12</c:v>
                </c:pt>
                <c:pt idx="1">
                  <c:v>14</c:v>
                </c:pt>
                <c:pt idx="2">
                  <c:v>25</c:v>
                </c:pt>
                <c:pt idx="3">
                  <c:v>56</c:v>
                </c:pt>
                <c:pt idx="4">
                  <c:v>39</c:v>
                </c:pt>
                <c:pt idx="5">
                  <c:v>33</c:v>
                </c:pt>
                <c:pt idx="6">
                  <c:v>45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B-4CCE-931F-29085A778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073040"/>
        <c:axId val="330241504"/>
      </c:barChart>
      <c:catAx>
        <c:axId val="2440730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41504"/>
        <c:crosses val="autoZero"/>
        <c:auto val="1"/>
        <c:lblAlgn val="ctr"/>
        <c:lblOffset val="100"/>
        <c:noMultiLvlLbl val="0"/>
      </c:catAx>
      <c:valAx>
        <c:axId val="3302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Arial Black" panose="020B0A04020102020204" pitchFamily="34" charset="0"/>
                  </a:rPr>
                  <a:t>ANURADHA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7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0</xdr:row>
      <xdr:rowOff>182880</xdr:rowOff>
    </xdr:from>
    <xdr:to>
      <xdr:col>11</xdr:col>
      <xdr:colOff>350520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7F173E-B5EA-E289-9E11-B58FB7C8E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347134</xdr:colOff>
      <xdr:row>14</xdr:row>
      <xdr:rowOff>84667</xdr:rowOff>
    </xdr:from>
    <xdr:to>
      <xdr:col>14</xdr:col>
      <xdr:colOff>67733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3E9D56-AAB7-2905-624D-DA82B67C7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330200</xdr:colOff>
      <xdr:row>28</xdr:row>
      <xdr:rowOff>33866</xdr:rowOff>
    </xdr:from>
    <xdr:to>
      <xdr:col>14</xdr:col>
      <xdr:colOff>160867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96DF22-5A22-9901-1925-C4B5ACC12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313268</xdr:colOff>
      <xdr:row>41</xdr:row>
      <xdr:rowOff>177800</xdr:rowOff>
    </xdr:from>
    <xdr:to>
      <xdr:col>14</xdr:col>
      <xdr:colOff>186267</xdr:colOff>
      <xdr:row>54</xdr:row>
      <xdr:rowOff>8467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93BA9E-9E26-908B-7221-C403E0CC7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ena Pramanick" refreshedDate="44968.860199421295" createdVersion="8" refreshedVersion="8" minRefreshableVersion="3" recordCount="26" xr:uid="{C51C179A-584C-4D00-85BB-C3172BB4A9D6}">
  <cacheSource type="worksheet">
    <worksheetSource ref="A1:G27" sheet="Sheet1"/>
  </cacheSource>
  <cacheFields count="6">
    <cacheField name="NAME" numFmtId="0">
      <sharedItems count="26">
        <s v="SOMA"/>
        <s v="RAHUL"/>
        <s v="NIKHIL"/>
        <s v="SNEHA"/>
        <s v="ANITA"/>
        <s v="SOMYA"/>
        <s v="VARSHA"/>
        <s v="ASHWIN"/>
        <s v="VAYU"/>
        <s v="SAMRAT"/>
        <s v="ANSH"/>
        <s v="VINITA"/>
        <s v="CHARU"/>
        <s v="AVVYA"/>
        <s v="SANTOSH"/>
        <s v="WEELER"/>
        <s v="ANDRU"/>
        <s v="SATYA"/>
        <s v="BILLY"/>
        <s v="ERIC"/>
        <s v="MAX"/>
        <s v="JAL"/>
        <s v="RAILEY"/>
        <s v="ANNA"/>
        <s v="OWEN"/>
        <s v="PRIYA"/>
      </sharedItems>
    </cacheField>
    <cacheField name="TEAM NAME" numFmtId="0">
      <sharedItems count="4">
        <s v="MANGO"/>
        <s v="APPLE"/>
        <s v="GRAPES"/>
        <s v="ORANGES"/>
      </sharedItems>
    </cacheField>
    <cacheField name="CORRECT ANS" numFmtId="0">
      <sharedItems containsSemiMixedTypes="0" containsString="0" containsNumber="1" containsInteger="1" minValue="9" maxValue="25"/>
    </cacheField>
    <cacheField name="INCORRECT ANS" numFmtId="0">
      <sharedItems containsSemiMixedTypes="0" containsString="0" containsNumber="1" containsInteger="1" minValue="0" maxValue="16"/>
    </cacheField>
    <cacheField name="TOTAL" numFmtId="0">
      <sharedItems containsSemiMixedTypes="0" containsString="0" containsNumber="1" containsInteger="1" minValue="25" maxValue="25"/>
    </cacheField>
    <cacheField name="PERCENTAGE" numFmtId="0">
      <sharedItems containsSemiMixedTypes="0" containsString="0" containsNumber="1" minValue="3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ena Pramanick" refreshedDate="45143.885214351852" createdVersion="8" refreshedVersion="8" minRefreshableVersion="3" recordCount="26" xr:uid="{A29C5E0A-227C-4CCA-B5FE-023BEB90D624}">
  <cacheSource type="worksheet">
    <worksheetSource ref="A1:G27" sheet="Sheet1"/>
  </cacheSource>
  <cacheFields count="6">
    <cacheField name="NAME" numFmtId="0">
      <sharedItems/>
    </cacheField>
    <cacheField name="TEAM NAME" numFmtId="0">
      <sharedItems count="4">
        <s v="MANGO"/>
        <s v="APPLE"/>
        <s v="GRAPES"/>
        <s v="ORANGES"/>
      </sharedItems>
    </cacheField>
    <cacheField name="CORRECT ANS" numFmtId="0">
      <sharedItems containsSemiMixedTypes="0" containsString="0" containsNumber="1" containsInteger="1" minValue="9" maxValue="25"/>
    </cacheField>
    <cacheField name="INCORRECT ANS" numFmtId="0">
      <sharedItems containsSemiMixedTypes="0" containsString="0" containsNumber="1" containsInteger="1" minValue="0" maxValue="16"/>
    </cacheField>
    <cacheField name="TOTAL" numFmtId="0">
      <sharedItems containsSemiMixedTypes="0" containsString="0" containsNumber="1" containsInteger="1" minValue="25" maxValue="25"/>
    </cacheField>
    <cacheField name="PERCENTAGE" numFmtId="0">
      <sharedItems containsSemiMixedTypes="0" containsString="0" containsNumber="1" minValue="3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n v="20"/>
    <n v="5"/>
    <n v="25"/>
    <n v="80"/>
  </r>
  <r>
    <x v="1"/>
    <x v="0"/>
    <n v="21"/>
    <n v="4"/>
    <n v="25"/>
    <n v="84"/>
  </r>
  <r>
    <x v="2"/>
    <x v="0"/>
    <n v="23"/>
    <n v="2"/>
    <n v="25"/>
    <n v="92"/>
  </r>
  <r>
    <x v="3"/>
    <x v="0"/>
    <n v="25"/>
    <n v="0"/>
    <n v="25"/>
    <n v="100"/>
  </r>
  <r>
    <x v="4"/>
    <x v="0"/>
    <n v="15"/>
    <n v="10"/>
    <n v="25"/>
    <n v="60"/>
  </r>
  <r>
    <x v="5"/>
    <x v="0"/>
    <n v="14"/>
    <n v="11"/>
    <n v="25"/>
    <n v="56.000000000000007"/>
  </r>
  <r>
    <x v="6"/>
    <x v="1"/>
    <n v="10"/>
    <n v="15"/>
    <n v="25"/>
    <n v="40"/>
  </r>
  <r>
    <x v="7"/>
    <x v="1"/>
    <n v="19"/>
    <n v="6"/>
    <n v="25"/>
    <n v="76"/>
  </r>
  <r>
    <x v="8"/>
    <x v="1"/>
    <n v="20"/>
    <n v="5"/>
    <n v="25"/>
    <n v="80"/>
  </r>
  <r>
    <x v="9"/>
    <x v="1"/>
    <n v="25"/>
    <n v="0"/>
    <n v="25"/>
    <n v="100"/>
  </r>
  <r>
    <x v="10"/>
    <x v="1"/>
    <n v="21"/>
    <n v="4"/>
    <n v="25"/>
    <n v="84"/>
  </r>
  <r>
    <x v="11"/>
    <x v="1"/>
    <n v="16"/>
    <n v="9"/>
    <n v="25"/>
    <n v="64"/>
  </r>
  <r>
    <x v="12"/>
    <x v="1"/>
    <n v="18"/>
    <n v="7"/>
    <n v="25"/>
    <n v="72"/>
  </r>
  <r>
    <x v="13"/>
    <x v="2"/>
    <n v="9"/>
    <n v="16"/>
    <n v="25"/>
    <n v="36"/>
  </r>
  <r>
    <x v="14"/>
    <x v="2"/>
    <n v="14"/>
    <n v="11"/>
    <n v="25"/>
    <n v="56.000000000000007"/>
  </r>
  <r>
    <x v="15"/>
    <x v="2"/>
    <n v="24"/>
    <n v="1"/>
    <n v="25"/>
    <n v="96"/>
  </r>
  <r>
    <x v="16"/>
    <x v="2"/>
    <n v="12"/>
    <n v="13"/>
    <n v="25"/>
    <n v="48"/>
  </r>
  <r>
    <x v="17"/>
    <x v="2"/>
    <n v="23"/>
    <n v="2"/>
    <n v="25"/>
    <n v="92"/>
  </r>
  <r>
    <x v="18"/>
    <x v="2"/>
    <n v="18"/>
    <n v="7"/>
    <n v="25"/>
    <n v="72"/>
  </r>
  <r>
    <x v="19"/>
    <x v="2"/>
    <n v="19"/>
    <n v="6"/>
    <n v="25"/>
    <n v="76"/>
  </r>
  <r>
    <x v="20"/>
    <x v="3"/>
    <n v="25"/>
    <n v="0"/>
    <n v="25"/>
    <n v="100"/>
  </r>
  <r>
    <x v="21"/>
    <x v="3"/>
    <n v="20"/>
    <n v="5"/>
    <n v="25"/>
    <n v="80"/>
  </r>
  <r>
    <x v="22"/>
    <x v="3"/>
    <n v="13"/>
    <n v="12"/>
    <n v="25"/>
    <n v="52"/>
  </r>
  <r>
    <x v="23"/>
    <x v="3"/>
    <n v="17"/>
    <n v="8"/>
    <n v="25"/>
    <n v="68"/>
  </r>
  <r>
    <x v="24"/>
    <x v="3"/>
    <n v="19"/>
    <n v="6"/>
    <n v="25"/>
    <n v="76"/>
  </r>
  <r>
    <x v="25"/>
    <x v="3"/>
    <n v="20"/>
    <n v="5"/>
    <n v="25"/>
    <n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SOMA"/>
    <x v="0"/>
    <n v="20"/>
    <n v="5"/>
    <n v="25"/>
    <n v="80"/>
  </r>
  <r>
    <s v="RAHUL"/>
    <x v="0"/>
    <n v="21"/>
    <n v="4"/>
    <n v="25"/>
    <n v="84"/>
  </r>
  <r>
    <s v="NIKHIL"/>
    <x v="0"/>
    <n v="23"/>
    <n v="2"/>
    <n v="25"/>
    <n v="92"/>
  </r>
  <r>
    <s v="SNEHA"/>
    <x v="0"/>
    <n v="25"/>
    <n v="0"/>
    <n v="25"/>
    <n v="100"/>
  </r>
  <r>
    <s v="ANITA"/>
    <x v="0"/>
    <n v="15"/>
    <n v="10"/>
    <n v="25"/>
    <n v="60"/>
  </r>
  <r>
    <s v="SOMYA"/>
    <x v="0"/>
    <n v="14"/>
    <n v="11"/>
    <n v="25"/>
    <n v="56.000000000000007"/>
  </r>
  <r>
    <s v="VARSHA"/>
    <x v="1"/>
    <n v="10"/>
    <n v="15"/>
    <n v="25"/>
    <n v="40"/>
  </r>
  <r>
    <s v="ASHWIN"/>
    <x v="1"/>
    <n v="19"/>
    <n v="6"/>
    <n v="25"/>
    <n v="76"/>
  </r>
  <r>
    <s v="VAYU"/>
    <x v="1"/>
    <n v="20"/>
    <n v="5"/>
    <n v="25"/>
    <n v="80"/>
  </r>
  <r>
    <s v="SAMRAT"/>
    <x v="1"/>
    <n v="25"/>
    <n v="0"/>
    <n v="25"/>
    <n v="100"/>
  </r>
  <r>
    <s v="ANSH"/>
    <x v="1"/>
    <n v="21"/>
    <n v="4"/>
    <n v="25"/>
    <n v="84"/>
  </r>
  <r>
    <s v="VINITA"/>
    <x v="1"/>
    <n v="16"/>
    <n v="9"/>
    <n v="25"/>
    <n v="64"/>
  </r>
  <r>
    <s v="CHARU"/>
    <x v="1"/>
    <n v="18"/>
    <n v="7"/>
    <n v="25"/>
    <n v="72"/>
  </r>
  <r>
    <s v="AVVYA"/>
    <x v="2"/>
    <n v="9"/>
    <n v="16"/>
    <n v="25"/>
    <n v="36"/>
  </r>
  <r>
    <s v="SANTOSH"/>
    <x v="2"/>
    <n v="14"/>
    <n v="11"/>
    <n v="25"/>
    <n v="56.000000000000007"/>
  </r>
  <r>
    <s v="WEELER"/>
    <x v="2"/>
    <n v="24"/>
    <n v="1"/>
    <n v="25"/>
    <n v="96"/>
  </r>
  <r>
    <s v="ANDRU"/>
    <x v="2"/>
    <n v="12"/>
    <n v="13"/>
    <n v="25"/>
    <n v="48"/>
  </r>
  <r>
    <s v="SATYA"/>
    <x v="2"/>
    <n v="23"/>
    <n v="2"/>
    <n v="25"/>
    <n v="92"/>
  </r>
  <r>
    <s v="BILLY"/>
    <x v="2"/>
    <n v="18"/>
    <n v="7"/>
    <n v="25"/>
    <n v="72"/>
  </r>
  <r>
    <s v="ERIC"/>
    <x v="2"/>
    <n v="19"/>
    <n v="6"/>
    <n v="25"/>
    <n v="76"/>
  </r>
  <r>
    <s v="MAX"/>
    <x v="3"/>
    <n v="25"/>
    <n v="0"/>
    <n v="25"/>
    <n v="100"/>
  </r>
  <r>
    <s v="JAL"/>
    <x v="3"/>
    <n v="20"/>
    <n v="5"/>
    <n v="25"/>
    <n v="80"/>
  </r>
  <r>
    <s v="RAILEY"/>
    <x v="3"/>
    <n v="13"/>
    <n v="12"/>
    <n v="25"/>
    <n v="52"/>
  </r>
  <r>
    <s v="ANNA"/>
    <x v="3"/>
    <n v="17"/>
    <n v="8"/>
    <n v="25"/>
    <n v="68"/>
  </r>
  <r>
    <s v="OWEN"/>
    <x v="3"/>
    <n v="19"/>
    <n v="6"/>
    <n v="25"/>
    <n v="76"/>
  </r>
  <r>
    <s v="PRIYA"/>
    <x v="3"/>
    <n v="20"/>
    <n v="5"/>
    <n v="25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24F00-F264-4CDB-A8BD-FB8DE7DC83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8" firstHeaderRow="0" firstDataRow="1" firstDataCol="1"/>
  <pivotFields count="6">
    <pivotField axis="axisRow" showAll="0">
      <items count="27">
        <item x="16"/>
        <item x="4"/>
        <item x="23"/>
        <item x="10"/>
        <item x="7"/>
        <item x="13"/>
        <item x="18"/>
        <item x="12"/>
        <item x="19"/>
        <item x="21"/>
        <item x="20"/>
        <item x="2"/>
        <item x="24"/>
        <item x="25"/>
        <item x="1"/>
        <item x="22"/>
        <item x="9"/>
        <item x="14"/>
        <item x="17"/>
        <item x="3"/>
        <item x="0"/>
        <item x="5"/>
        <item x="6"/>
        <item x="8"/>
        <item x="11"/>
        <item x="1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RRECT ANS" fld="2" baseField="0" baseItem="0"/>
    <dataField name="Sum of INCORRECT ANS" fld="3" baseField="0" baseItem="0"/>
    <dataField name="Sum of TOTAL" fld="4" baseField="0" baseItem="0"/>
    <dataField name="Sum of PERCENTAG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BB941-CEF5-47F2-989C-AD86ADEF52F9}" name="PivotTable2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7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ERCENTAG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AD06-8F6C-4243-86F5-EC7F5BEB9FFD}">
  <sheetPr codeName="Sheet2"/>
  <dimension ref="A1:E28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1.44140625" bestFit="1" customWidth="1"/>
    <col min="4" max="4" width="12.88671875" bestFit="1" customWidth="1"/>
    <col min="5" max="5" width="18.77734375" bestFit="1" customWidth="1"/>
  </cols>
  <sheetData>
    <row r="1" spans="1:5" x14ac:dyDescent="0.3">
      <c r="A1" s="2" t="s">
        <v>32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3">
      <c r="A2" s="3" t="s">
        <v>21</v>
      </c>
      <c r="B2">
        <v>12</v>
      </c>
      <c r="C2">
        <v>13</v>
      </c>
      <c r="D2">
        <v>25</v>
      </c>
      <c r="E2">
        <v>48</v>
      </c>
    </row>
    <row r="3" spans="1:5" x14ac:dyDescent="0.3">
      <c r="A3" s="3" t="s">
        <v>7</v>
      </c>
      <c r="B3">
        <v>15</v>
      </c>
      <c r="C3">
        <v>10</v>
      </c>
      <c r="D3">
        <v>25</v>
      </c>
      <c r="E3">
        <v>60</v>
      </c>
    </row>
    <row r="4" spans="1:5" x14ac:dyDescent="0.3">
      <c r="A4" s="3" t="s">
        <v>29</v>
      </c>
      <c r="B4">
        <v>17</v>
      </c>
      <c r="C4">
        <v>8</v>
      </c>
      <c r="D4">
        <v>25</v>
      </c>
      <c r="E4">
        <v>68</v>
      </c>
    </row>
    <row r="5" spans="1:5" x14ac:dyDescent="0.3">
      <c r="A5" s="3" t="s">
        <v>14</v>
      </c>
      <c r="B5">
        <v>21</v>
      </c>
      <c r="C5">
        <v>4</v>
      </c>
      <c r="D5">
        <v>25</v>
      </c>
      <c r="E5">
        <v>84</v>
      </c>
    </row>
    <row r="6" spans="1:5" x14ac:dyDescent="0.3">
      <c r="A6" s="3" t="s">
        <v>11</v>
      </c>
      <c r="B6">
        <v>19</v>
      </c>
      <c r="C6">
        <v>6</v>
      </c>
      <c r="D6">
        <v>25</v>
      </c>
      <c r="E6">
        <v>76</v>
      </c>
    </row>
    <row r="7" spans="1:5" x14ac:dyDescent="0.3">
      <c r="A7" s="3" t="s">
        <v>17</v>
      </c>
      <c r="B7">
        <v>9</v>
      </c>
      <c r="C7">
        <v>16</v>
      </c>
      <c r="D7">
        <v>25</v>
      </c>
      <c r="E7">
        <v>36</v>
      </c>
    </row>
    <row r="8" spans="1:5" x14ac:dyDescent="0.3">
      <c r="A8" s="3" t="s">
        <v>23</v>
      </c>
      <c r="B8">
        <v>18</v>
      </c>
      <c r="C8">
        <v>7</v>
      </c>
      <c r="D8">
        <v>25</v>
      </c>
      <c r="E8">
        <v>72</v>
      </c>
    </row>
    <row r="9" spans="1:5" x14ac:dyDescent="0.3">
      <c r="A9" s="3" t="s">
        <v>16</v>
      </c>
      <c r="B9">
        <v>18</v>
      </c>
      <c r="C9">
        <v>7</v>
      </c>
      <c r="D9">
        <v>25</v>
      </c>
      <c r="E9">
        <v>72</v>
      </c>
    </row>
    <row r="10" spans="1:5" x14ac:dyDescent="0.3">
      <c r="A10" s="3" t="s">
        <v>24</v>
      </c>
      <c r="B10">
        <v>19</v>
      </c>
      <c r="C10">
        <v>6</v>
      </c>
      <c r="D10">
        <v>25</v>
      </c>
      <c r="E10">
        <v>76</v>
      </c>
    </row>
    <row r="11" spans="1:5" x14ac:dyDescent="0.3">
      <c r="A11" s="3" t="s">
        <v>27</v>
      </c>
      <c r="B11">
        <v>20</v>
      </c>
      <c r="C11">
        <v>5</v>
      </c>
      <c r="D11">
        <v>25</v>
      </c>
      <c r="E11">
        <v>80</v>
      </c>
    </row>
    <row r="12" spans="1:5" x14ac:dyDescent="0.3">
      <c r="A12" s="3" t="s">
        <v>25</v>
      </c>
      <c r="B12">
        <v>25</v>
      </c>
      <c r="C12">
        <v>0</v>
      </c>
      <c r="D12">
        <v>25</v>
      </c>
      <c r="E12">
        <v>100</v>
      </c>
    </row>
    <row r="13" spans="1:5" x14ac:dyDescent="0.3">
      <c r="A13" s="3" t="s">
        <v>5</v>
      </c>
      <c r="B13">
        <v>23</v>
      </c>
      <c r="C13">
        <v>2</v>
      </c>
      <c r="D13">
        <v>25</v>
      </c>
      <c r="E13">
        <v>92</v>
      </c>
    </row>
    <row r="14" spans="1:5" x14ac:dyDescent="0.3">
      <c r="A14" s="3" t="s">
        <v>30</v>
      </c>
      <c r="B14">
        <v>19</v>
      </c>
      <c r="C14">
        <v>6</v>
      </c>
      <c r="D14">
        <v>25</v>
      </c>
      <c r="E14">
        <v>76</v>
      </c>
    </row>
    <row r="15" spans="1:5" x14ac:dyDescent="0.3">
      <c r="A15" s="3" t="s">
        <v>31</v>
      </c>
      <c r="B15">
        <v>20</v>
      </c>
      <c r="C15">
        <v>5</v>
      </c>
      <c r="D15">
        <v>25</v>
      </c>
      <c r="E15">
        <v>80</v>
      </c>
    </row>
    <row r="16" spans="1:5" x14ac:dyDescent="0.3">
      <c r="A16" s="3" t="s">
        <v>4</v>
      </c>
      <c r="B16">
        <v>21</v>
      </c>
      <c r="C16">
        <v>4</v>
      </c>
      <c r="D16">
        <v>25</v>
      </c>
      <c r="E16">
        <v>84</v>
      </c>
    </row>
    <row r="17" spans="1:5" x14ac:dyDescent="0.3">
      <c r="A17" s="3" t="s">
        <v>28</v>
      </c>
      <c r="B17">
        <v>13</v>
      </c>
      <c r="C17">
        <v>12</v>
      </c>
      <c r="D17">
        <v>25</v>
      </c>
      <c r="E17">
        <v>52</v>
      </c>
    </row>
    <row r="18" spans="1:5" x14ac:dyDescent="0.3">
      <c r="A18" s="3" t="s">
        <v>13</v>
      </c>
      <c r="B18">
        <v>25</v>
      </c>
      <c r="C18">
        <v>0</v>
      </c>
      <c r="D18">
        <v>25</v>
      </c>
      <c r="E18">
        <v>100</v>
      </c>
    </row>
    <row r="19" spans="1:5" x14ac:dyDescent="0.3">
      <c r="A19" s="3" t="s">
        <v>19</v>
      </c>
      <c r="B19">
        <v>14</v>
      </c>
      <c r="C19">
        <v>11</v>
      </c>
      <c r="D19">
        <v>25</v>
      </c>
      <c r="E19">
        <v>56.000000000000007</v>
      </c>
    </row>
    <row r="20" spans="1:5" x14ac:dyDescent="0.3">
      <c r="A20" s="3" t="s">
        <v>22</v>
      </c>
      <c r="B20">
        <v>23</v>
      </c>
      <c r="C20">
        <v>2</v>
      </c>
      <c r="D20">
        <v>25</v>
      </c>
      <c r="E20">
        <v>92</v>
      </c>
    </row>
    <row r="21" spans="1:5" x14ac:dyDescent="0.3">
      <c r="A21" s="3" t="s">
        <v>6</v>
      </c>
      <c r="B21">
        <v>25</v>
      </c>
      <c r="C21">
        <v>0</v>
      </c>
      <c r="D21">
        <v>25</v>
      </c>
      <c r="E21">
        <v>100</v>
      </c>
    </row>
    <row r="22" spans="1:5" x14ac:dyDescent="0.3">
      <c r="A22" s="3" t="s">
        <v>2</v>
      </c>
      <c r="B22">
        <v>20</v>
      </c>
      <c r="C22">
        <v>5</v>
      </c>
      <c r="D22">
        <v>25</v>
      </c>
      <c r="E22">
        <v>80</v>
      </c>
    </row>
    <row r="23" spans="1:5" x14ac:dyDescent="0.3">
      <c r="A23" s="3" t="s">
        <v>8</v>
      </c>
      <c r="B23">
        <v>14</v>
      </c>
      <c r="C23">
        <v>11</v>
      </c>
      <c r="D23">
        <v>25</v>
      </c>
      <c r="E23">
        <v>56.000000000000007</v>
      </c>
    </row>
    <row r="24" spans="1:5" x14ac:dyDescent="0.3">
      <c r="A24" s="3" t="s">
        <v>9</v>
      </c>
      <c r="B24">
        <v>10</v>
      </c>
      <c r="C24">
        <v>15</v>
      </c>
      <c r="D24">
        <v>25</v>
      </c>
      <c r="E24">
        <v>40</v>
      </c>
    </row>
    <row r="25" spans="1:5" x14ac:dyDescent="0.3">
      <c r="A25" s="3" t="s">
        <v>12</v>
      </c>
      <c r="B25">
        <v>20</v>
      </c>
      <c r="C25">
        <v>5</v>
      </c>
      <c r="D25">
        <v>25</v>
      </c>
      <c r="E25">
        <v>80</v>
      </c>
    </row>
    <row r="26" spans="1:5" x14ac:dyDescent="0.3">
      <c r="A26" s="3" t="s">
        <v>15</v>
      </c>
      <c r="B26">
        <v>16</v>
      </c>
      <c r="C26">
        <v>9</v>
      </c>
      <c r="D26">
        <v>25</v>
      </c>
      <c r="E26">
        <v>64</v>
      </c>
    </row>
    <row r="27" spans="1:5" x14ac:dyDescent="0.3">
      <c r="A27" s="3" t="s">
        <v>20</v>
      </c>
      <c r="B27">
        <v>24</v>
      </c>
      <c r="C27">
        <v>1</v>
      </c>
      <c r="D27">
        <v>25</v>
      </c>
      <c r="E27">
        <v>96</v>
      </c>
    </row>
    <row r="28" spans="1:5" x14ac:dyDescent="0.3">
      <c r="A28" s="3" t="s">
        <v>33</v>
      </c>
      <c r="B28">
        <v>480</v>
      </c>
      <c r="C28">
        <v>170</v>
      </c>
      <c r="D28">
        <v>650</v>
      </c>
      <c r="E28">
        <v>1920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EEB2-E406-49C5-9C25-A7C0C29A25B9}">
  <sheetPr codeName="Sheet3"/>
  <dimension ref="A1:N27"/>
  <sheetViews>
    <sheetView workbookViewId="0">
      <selection activeCell="E19" sqref="E19"/>
    </sheetView>
  </sheetViews>
  <sheetFormatPr defaultRowHeight="14.4" x14ac:dyDescent="0.3"/>
  <cols>
    <col min="2" max="2" width="18.109375" customWidth="1"/>
    <col min="14" max="14" width="14" customWidth="1"/>
  </cols>
  <sheetData>
    <row r="1" spans="1:14" x14ac:dyDescent="0.3">
      <c r="A1" s="4" t="s">
        <v>0</v>
      </c>
      <c r="B1" s="4" t="s">
        <v>41</v>
      </c>
    </row>
    <row r="2" spans="1:14" x14ac:dyDescent="0.3">
      <c r="A2" s="4" t="s">
        <v>2</v>
      </c>
      <c r="B2" s="4" t="s">
        <v>38</v>
      </c>
      <c r="M2" s="1" t="s">
        <v>2</v>
      </c>
      <c r="N2" s="1">
        <v>1265</v>
      </c>
    </row>
    <row r="3" spans="1:14" x14ac:dyDescent="0.3">
      <c r="A3" s="4"/>
      <c r="B3" s="4"/>
      <c r="F3" t="s">
        <v>38</v>
      </c>
      <c r="M3" s="1" t="s">
        <v>4</v>
      </c>
      <c r="N3" s="1">
        <v>2586</v>
      </c>
    </row>
    <row r="4" spans="1:14" x14ac:dyDescent="0.3">
      <c r="A4" s="4"/>
      <c r="B4" s="4"/>
      <c r="F4" t="s">
        <v>39</v>
      </c>
      <c r="M4" s="1" t="s">
        <v>5</v>
      </c>
      <c r="N4" s="1">
        <v>463</v>
      </c>
    </row>
    <row r="5" spans="1:14" x14ac:dyDescent="0.3">
      <c r="A5" s="4"/>
      <c r="B5" s="4"/>
      <c r="F5" t="s">
        <v>40</v>
      </c>
      <c r="M5" s="1" t="s">
        <v>6</v>
      </c>
      <c r="N5" s="1">
        <v>1456</v>
      </c>
    </row>
    <row r="6" spans="1:14" x14ac:dyDescent="0.3">
      <c r="A6" s="4"/>
      <c r="B6" s="4"/>
      <c r="M6" s="1" t="s">
        <v>7</v>
      </c>
      <c r="N6" s="1">
        <v>356</v>
      </c>
    </row>
    <row r="7" spans="1:14" x14ac:dyDescent="0.3">
      <c r="A7" s="4"/>
      <c r="B7" s="4"/>
      <c r="M7" s="1" t="s">
        <v>8</v>
      </c>
      <c r="N7" s="1">
        <v>659</v>
      </c>
    </row>
    <row r="8" spans="1:14" x14ac:dyDescent="0.3">
      <c r="A8" s="4"/>
      <c r="B8" s="4"/>
      <c r="M8" s="1" t="s">
        <v>9</v>
      </c>
      <c r="N8" s="1">
        <v>5568</v>
      </c>
    </row>
    <row r="9" spans="1:14" x14ac:dyDescent="0.3">
      <c r="A9" s="4"/>
      <c r="B9" s="4"/>
      <c r="M9" s="1" t="s">
        <v>11</v>
      </c>
      <c r="N9" s="1">
        <v>5693</v>
      </c>
    </row>
    <row r="10" spans="1:14" x14ac:dyDescent="0.3">
      <c r="A10" s="4"/>
      <c r="B10" s="4"/>
      <c r="M10" s="1" t="s">
        <v>12</v>
      </c>
      <c r="N10" s="1">
        <v>1254</v>
      </c>
    </row>
    <row r="11" spans="1:14" x14ac:dyDescent="0.3">
      <c r="A11" s="4"/>
      <c r="B11" s="4"/>
      <c r="M11" s="1" t="s">
        <v>13</v>
      </c>
      <c r="N11" s="1">
        <v>7400</v>
      </c>
    </row>
    <row r="12" spans="1:14" x14ac:dyDescent="0.3">
      <c r="A12" s="4"/>
      <c r="B12" s="4"/>
      <c r="M12" s="1" t="s">
        <v>14</v>
      </c>
      <c r="N12" s="1">
        <v>1253</v>
      </c>
    </row>
    <row r="13" spans="1:14" x14ac:dyDescent="0.3">
      <c r="A13" s="4"/>
      <c r="B13" s="4"/>
      <c r="M13" s="1" t="s">
        <v>15</v>
      </c>
      <c r="N13" s="1">
        <v>536</v>
      </c>
    </row>
    <row r="14" spans="1:14" x14ac:dyDescent="0.3">
      <c r="A14" s="4"/>
      <c r="B14" s="4"/>
      <c r="M14" s="1" t="s">
        <v>16</v>
      </c>
      <c r="N14" s="1">
        <v>4569</v>
      </c>
    </row>
    <row r="15" spans="1:14" x14ac:dyDescent="0.3">
      <c r="A15" s="4"/>
      <c r="B15" s="4"/>
      <c r="M15" s="1" t="s">
        <v>17</v>
      </c>
      <c r="N15" s="1">
        <v>7563</v>
      </c>
    </row>
    <row r="16" spans="1:14" x14ac:dyDescent="0.3">
      <c r="A16" s="4"/>
      <c r="B16" s="4"/>
      <c r="M16" s="1" t="s">
        <v>19</v>
      </c>
      <c r="N16" s="1">
        <v>8521</v>
      </c>
    </row>
    <row r="17" spans="1:14" x14ac:dyDescent="0.3">
      <c r="A17" s="4"/>
      <c r="B17" s="4"/>
      <c r="M17" s="1" t="s">
        <v>20</v>
      </c>
      <c r="N17" s="1">
        <v>4562</v>
      </c>
    </row>
    <row r="18" spans="1:14" x14ac:dyDescent="0.3">
      <c r="A18" s="4"/>
      <c r="B18" s="4"/>
      <c r="M18" s="1" t="s">
        <v>21</v>
      </c>
      <c r="N18" s="1">
        <v>2369</v>
      </c>
    </row>
    <row r="19" spans="1:14" x14ac:dyDescent="0.3">
      <c r="A19" s="4"/>
      <c r="B19" s="4"/>
      <c r="M19" s="1" t="s">
        <v>22</v>
      </c>
      <c r="N19" s="1">
        <v>4521</v>
      </c>
    </row>
    <row r="20" spans="1:14" x14ac:dyDescent="0.3">
      <c r="A20" s="4"/>
      <c r="B20" s="4"/>
      <c r="M20" s="1" t="s">
        <v>23</v>
      </c>
      <c r="N20" s="1">
        <v>3562</v>
      </c>
    </row>
    <row r="21" spans="1:14" x14ac:dyDescent="0.3">
      <c r="A21" s="4"/>
      <c r="B21" s="4"/>
      <c r="M21" s="1" t="s">
        <v>24</v>
      </c>
      <c r="N21" s="1">
        <v>942</v>
      </c>
    </row>
    <row r="22" spans="1:14" x14ac:dyDescent="0.3">
      <c r="A22" s="4"/>
      <c r="B22" s="4"/>
      <c r="M22" s="1" t="s">
        <v>25</v>
      </c>
      <c r="N22" s="1">
        <v>974</v>
      </c>
    </row>
    <row r="23" spans="1:14" x14ac:dyDescent="0.3">
      <c r="A23" s="4"/>
      <c r="B23" s="4"/>
      <c r="M23" s="1" t="s">
        <v>27</v>
      </c>
      <c r="N23" s="1">
        <v>863</v>
      </c>
    </row>
    <row r="24" spans="1:14" x14ac:dyDescent="0.3">
      <c r="A24" s="4"/>
      <c r="B24" s="4"/>
      <c r="M24" s="1" t="s">
        <v>28</v>
      </c>
      <c r="N24" s="1">
        <v>1256</v>
      </c>
    </row>
    <row r="25" spans="1:14" x14ac:dyDescent="0.3">
      <c r="A25" s="4"/>
      <c r="B25" s="4"/>
      <c r="M25" s="1" t="s">
        <v>29</v>
      </c>
      <c r="N25" s="1">
        <v>4586</v>
      </c>
    </row>
    <row r="26" spans="1:14" x14ac:dyDescent="0.3">
      <c r="A26" s="4"/>
      <c r="B26" s="4"/>
      <c r="M26" s="1" t="s">
        <v>30</v>
      </c>
      <c r="N26" s="1">
        <v>5210</v>
      </c>
    </row>
    <row r="27" spans="1:14" x14ac:dyDescent="0.3">
      <c r="A27" s="4"/>
      <c r="B27" s="4"/>
      <c r="M27" s="1" t="s">
        <v>31</v>
      </c>
      <c r="N27" s="1">
        <v>762</v>
      </c>
    </row>
  </sheetData>
  <conditionalFormatting sqref="B2:B2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N2:N2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max"/>
        <color rgb="FFFF7128"/>
        <color rgb="FFFFEF9C"/>
      </colorScale>
    </cfRule>
    <cfRule type="colorScale" priority="7">
      <colorScale>
        <cfvo type="min"/>
        <cfvo type="percentile" val="50"/>
        <cfvo type="max"/>
        <color rgb="FFFF0000"/>
        <color rgb="FFFFFF00"/>
        <color rgb="FF00B050"/>
      </colorScale>
    </cfRule>
  </conditionalFormatting>
  <dataValidations count="1">
    <dataValidation type="list" allowBlank="1" showInputMessage="1" showErrorMessage="1" sqref="B2" xr:uid="{E6716300-B178-461B-BCF4-63C592120CA3}">
      <formula1>$F$3:$F$5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9458D2E-4C5B-4BD2-B121-C3DE8BB58A72}">
            <xm:f>NOT(ISERROR(SEARCH($F$5,B2)))</xm:f>
            <xm:f>$F$5</xm:f>
            <x14:dxf>
              <fill>
                <patternFill>
                  <bgColor theme="7"/>
                </patternFill>
              </fill>
            </x14:dxf>
          </x14:cfRule>
          <x14:cfRule type="containsText" priority="2" operator="containsText" id="{4A8B5883-EC97-4C17-B724-22DC4F8EF9A7}">
            <xm:f>NOT(ISERROR(SEARCH($F$4,B2)))</xm:f>
            <xm:f>$F$4</xm:f>
            <x14:dxf>
              <font>
                <b val="0"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4D7B4BCB-FD36-4484-81A4-3DEF85F357E6}">
            <xm:f>NOT(ISERROR(SEARCH($F$4,B2)))</xm:f>
            <xm:f>$F$4</xm:f>
            <x14:dxf/>
          </x14:cfRule>
          <x14:cfRule type="containsText" priority="4" operator="containsText" id="{DFBBF7D9-E8AB-47F4-8766-72B39E7375A0}">
            <xm:f>NOT(ISERROR(SEARCH($F$3,B2)))</xm:f>
            <xm:f>$F$3</xm:f>
            <x14:dxf>
              <font>
                <b val="0"/>
                <i val="0"/>
                <color auto="1"/>
              </font>
              <fill>
                <patternFill>
                  <bgColor theme="9" tint="0.39994506668294322"/>
                </patternFill>
              </fill>
            </x14:dxf>
          </x14:cfRule>
          <xm:sqref>B2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F2E-AF94-47E8-87FE-090097F8B6D3}">
  <sheetPr codeName="Sheet1"/>
  <dimension ref="A3:B7"/>
  <sheetViews>
    <sheetView workbookViewId="0">
      <selection activeCell="D17" sqref="D17:D18"/>
    </sheetView>
  </sheetViews>
  <sheetFormatPr defaultRowHeight="14.4" x14ac:dyDescent="0.3"/>
  <cols>
    <col min="1" max="1" width="14" bestFit="1" customWidth="1"/>
    <col min="2" max="2" width="18.77734375" bestFit="1" customWidth="1"/>
  </cols>
  <sheetData>
    <row r="3" spans="1:2" x14ac:dyDescent="0.3">
      <c r="A3" s="2" t="s">
        <v>1</v>
      </c>
      <c r="B3" t="s">
        <v>37</v>
      </c>
    </row>
    <row r="4" spans="1:2" x14ac:dyDescent="0.3">
      <c r="A4" t="s">
        <v>10</v>
      </c>
      <c r="B4">
        <v>516</v>
      </c>
    </row>
    <row r="5" spans="1:2" x14ac:dyDescent="0.3">
      <c r="A5" t="s">
        <v>18</v>
      </c>
      <c r="B5">
        <v>476</v>
      </c>
    </row>
    <row r="6" spans="1:2" x14ac:dyDescent="0.3">
      <c r="A6" t="s">
        <v>3</v>
      </c>
      <c r="B6">
        <v>472</v>
      </c>
    </row>
    <row r="7" spans="1:2" x14ac:dyDescent="0.3">
      <c r="A7" t="s">
        <v>26</v>
      </c>
      <c r="B7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9519-B0B2-4D14-8A3F-0DA627399868}">
  <sheetPr codeName="Sheet4"/>
  <dimension ref="A1:E5"/>
  <sheetViews>
    <sheetView workbookViewId="0">
      <selection activeCell="D16" sqref="D16"/>
    </sheetView>
  </sheetViews>
  <sheetFormatPr defaultRowHeight="14.4" x14ac:dyDescent="0.3"/>
  <cols>
    <col min="1" max="1" width="8.21875" bestFit="1" customWidth="1"/>
    <col min="2" max="2" width="8.5546875" bestFit="1" customWidth="1"/>
    <col min="3" max="3" width="9.88671875" bestFit="1" customWidth="1"/>
  </cols>
  <sheetData>
    <row r="1" spans="1:5" ht="15.6" x14ac:dyDescent="0.4">
      <c r="A1" s="6" t="s">
        <v>42</v>
      </c>
      <c r="B1" s="6" t="s">
        <v>43</v>
      </c>
      <c r="C1" s="6" t="s">
        <v>44</v>
      </c>
    </row>
    <row r="2" spans="1:5" ht="15.6" x14ac:dyDescent="0.4">
      <c r="A2" s="8">
        <v>44927</v>
      </c>
      <c r="B2" s="5">
        <v>50000</v>
      </c>
      <c r="C2" s="5">
        <v>45000</v>
      </c>
      <c r="E2" s="7"/>
    </row>
    <row r="3" spans="1:5" ht="15.6" x14ac:dyDescent="0.4">
      <c r="A3" s="8">
        <v>44958</v>
      </c>
      <c r="B3" s="5">
        <v>65000</v>
      </c>
      <c r="C3" s="5">
        <v>58000</v>
      </c>
    </row>
    <row r="4" spans="1:5" ht="15.6" x14ac:dyDescent="0.4">
      <c r="A4" s="8">
        <v>44986</v>
      </c>
      <c r="B4" s="5">
        <v>48000</v>
      </c>
      <c r="C4" s="5">
        <v>74000</v>
      </c>
    </row>
    <row r="5" spans="1:5" ht="15.6" x14ac:dyDescent="0.4">
      <c r="A5" s="8">
        <v>45017</v>
      </c>
      <c r="B5" s="5">
        <v>62000</v>
      </c>
      <c r="C5" s="5">
        <v>65000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33A7-9699-4647-8D16-E87F41FE5451}">
  <sheetPr codeName="Sheet5"/>
  <dimension ref="A1:F53"/>
  <sheetViews>
    <sheetView tabSelected="1" topLeftCell="A31" zoomScale="90" zoomScaleNormal="90" workbookViewId="0">
      <selection activeCell="G64" sqref="G64"/>
    </sheetView>
  </sheetViews>
  <sheetFormatPr defaultRowHeight="14.4" x14ac:dyDescent="0.3"/>
  <cols>
    <col min="1" max="1" width="12.6640625" bestFit="1" customWidth="1"/>
    <col min="2" max="2" width="8.21875" bestFit="1" customWidth="1"/>
    <col min="3" max="3" width="8.6640625" bestFit="1" customWidth="1"/>
    <col min="4" max="4" width="9.77734375" bestFit="1" customWidth="1"/>
    <col min="5" max="5" width="9.88671875" bestFit="1" customWidth="1"/>
    <col min="6" max="6" width="13.33203125" bestFit="1" customWidth="1"/>
  </cols>
  <sheetData>
    <row r="1" spans="1:6" x14ac:dyDescent="0.3">
      <c r="A1" s="10" t="s">
        <v>45</v>
      </c>
      <c r="B1" s="10" t="s">
        <v>46</v>
      </c>
      <c r="C1" s="10" t="s">
        <v>47</v>
      </c>
      <c r="D1" s="10" t="s">
        <v>60</v>
      </c>
      <c r="E1" s="10" t="s">
        <v>48</v>
      </c>
      <c r="F1" s="10" t="s">
        <v>49</v>
      </c>
    </row>
    <row r="2" spans="1:6" x14ac:dyDescent="0.3">
      <c r="A2" s="5" t="s">
        <v>2</v>
      </c>
      <c r="B2" s="5" t="s">
        <v>59</v>
      </c>
      <c r="C2" s="5">
        <v>80</v>
      </c>
      <c r="D2" s="5">
        <v>100</v>
      </c>
      <c r="E2" s="5">
        <v>35</v>
      </c>
      <c r="F2" s="9">
        <f>C2/D2*100</f>
        <v>80</v>
      </c>
    </row>
    <row r="3" spans="1:6" x14ac:dyDescent="0.3">
      <c r="A3" s="5" t="s">
        <v>51</v>
      </c>
      <c r="B3" s="5" t="s">
        <v>59</v>
      </c>
      <c r="C3" s="5">
        <v>36</v>
      </c>
      <c r="D3" s="5">
        <v>100</v>
      </c>
      <c r="E3" s="5">
        <v>35</v>
      </c>
      <c r="F3" s="9">
        <f t="shared" ref="F3:F12" si="0">C3/D3*100</f>
        <v>36</v>
      </c>
    </row>
    <row r="4" spans="1:6" x14ac:dyDescent="0.3">
      <c r="A4" s="5" t="s">
        <v>52</v>
      </c>
      <c r="B4" s="5" t="s">
        <v>59</v>
      </c>
      <c r="C4" s="5">
        <v>49</v>
      </c>
      <c r="D4" s="5">
        <v>100</v>
      </c>
      <c r="E4" s="5">
        <v>35</v>
      </c>
      <c r="F4" s="9">
        <f t="shared" si="0"/>
        <v>49</v>
      </c>
    </row>
    <row r="5" spans="1:6" x14ac:dyDescent="0.3">
      <c r="A5" s="5" t="s">
        <v>8</v>
      </c>
      <c r="B5" s="5" t="s">
        <v>59</v>
      </c>
      <c r="C5" s="5">
        <v>71</v>
      </c>
      <c r="D5" s="5">
        <v>100</v>
      </c>
      <c r="E5" s="5">
        <v>35</v>
      </c>
      <c r="F5" s="9">
        <f t="shared" si="0"/>
        <v>71</v>
      </c>
    </row>
    <row r="6" spans="1:6" x14ac:dyDescent="0.3">
      <c r="A6" s="5" t="s">
        <v>50</v>
      </c>
      <c r="B6" s="5" t="s">
        <v>59</v>
      </c>
      <c r="C6" s="5">
        <v>55</v>
      </c>
      <c r="D6" s="5">
        <v>100</v>
      </c>
      <c r="E6" s="5">
        <v>35</v>
      </c>
      <c r="F6" s="9">
        <f t="shared" si="0"/>
        <v>55.000000000000007</v>
      </c>
    </row>
    <row r="7" spans="1:6" x14ac:dyDescent="0.3">
      <c r="A7" s="5" t="s">
        <v>53</v>
      </c>
      <c r="B7" s="5" t="s">
        <v>59</v>
      </c>
      <c r="C7" s="5">
        <v>32</v>
      </c>
      <c r="D7" s="5">
        <v>100</v>
      </c>
      <c r="E7" s="5">
        <v>35</v>
      </c>
      <c r="F7" s="9">
        <f t="shared" si="0"/>
        <v>32</v>
      </c>
    </row>
    <row r="8" spans="1:6" x14ac:dyDescent="0.3">
      <c r="A8" s="5" t="s">
        <v>54</v>
      </c>
      <c r="B8" s="5" t="s">
        <v>59</v>
      </c>
      <c r="C8" s="5">
        <v>54</v>
      </c>
      <c r="D8" s="5">
        <v>100</v>
      </c>
      <c r="E8" s="5">
        <v>35</v>
      </c>
      <c r="F8" s="9">
        <f t="shared" si="0"/>
        <v>54</v>
      </c>
    </row>
    <row r="9" spans="1:6" x14ac:dyDescent="0.3">
      <c r="A9" s="5" t="s">
        <v>55</v>
      </c>
      <c r="B9" s="5" t="s">
        <v>59</v>
      </c>
      <c r="C9" s="5">
        <v>63</v>
      </c>
      <c r="D9" s="5">
        <v>100</v>
      </c>
      <c r="E9" s="5">
        <v>35</v>
      </c>
      <c r="F9" s="9">
        <f t="shared" si="0"/>
        <v>63</v>
      </c>
    </row>
    <row r="10" spans="1:6" x14ac:dyDescent="0.3">
      <c r="A10" s="5" t="s">
        <v>56</v>
      </c>
      <c r="B10" s="5" t="s">
        <v>59</v>
      </c>
      <c r="C10" s="5">
        <v>40</v>
      </c>
      <c r="D10" s="5">
        <v>100</v>
      </c>
      <c r="E10" s="5">
        <v>35</v>
      </c>
      <c r="F10" s="9">
        <f t="shared" si="0"/>
        <v>40</v>
      </c>
    </row>
    <row r="11" spans="1:6" x14ac:dyDescent="0.3">
      <c r="A11" s="5" t="s">
        <v>57</v>
      </c>
      <c r="B11" s="5" t="s">
        <v>59</v>
      </c>
      <c r="C11" s="5">
        <v>75</v>
      </c>
      <c r="D11" s="5">
        <v>100</v>
      </c>
      <c r="E11" s="5">
        <v>35</v>
      </c>
      <c r="F11" s="9">
        <f t="shared" si="0"/>
        <v>75</v>
      </c>
    </row>
    <row r="12" spans="1:6" x14ac:dyDescent="0.3">
      <c r="A12" s="5" t="s">
        <v>58</v>
      </c>
      <c r="B12" s="5" t="s">
        <v>59</v>
      </c>
      <c r="C12" s="5">
        <v>44</v>
      </c>
      <c r="D12" s="5">
        <v>100</v>
      </c>
      <c r="E12" s="5">
        <v>35</v>
      </c>
      <c r="F12" s="9">
        <f t="shared" si="0"/>
        <v>44</v>
      </c>
    </row>
    <row r="16" spans="1:6" ht="14.4" customHeight="1" x14ac:dyDescent="0.7">
      <c r="A16" s="12" t="s">
        <v>61</v>
      </c>
      <c r="B16" s="12"/>
      <c r="C16" s="12"/>
      <c r="D16" s="12"/>
      <c r="E16" s="12"/>
      <c r="F16" s="11"/>
    </row>
    <row r="17" spans="1:6" ht="14.4" customHeight="1" x14ac:dyDescent="0.7">
      <c r="A17" s="12"/>
      <c r="B17" s="12"/>
      <c r="C17" s="12"/>
      <c r="D17" s="12"/>
      <c r="E17" s="12"/>
      <c r="F17" s="11"/>
    </row>
    <row r="18" spans="1:6" x14ac:dyDescent="0.3">
      <c r="A18" s="10" t="s">
        <v>46</v>
      </c>
      <c r="B18" s="10" t="s">
        <v>47</v>
      </c>
      <c r="C18" s="10" t="s">
        <v>60</v>
      </c>
      <c r="D18" s="10" t="s">
        <v>48</v>
      </c>
      <c r="E18" s="10" t="s">
        <v>49</v>
      </c>
      <c r="F18" s="10" t="s">
        <v>69</v>
      </c>
    </row>
    <row r="19" spans="1:6" x14ac:dyDescent="0.3">
      <c r="A19" s="5" t="s">
        <v>62</v>
      </c>
      <c r="B19" s="5">
        <v>56</v>
      </c>
      <c r="C19" s="5">
        <v>100</v>
      </c>
      <c r="D19" s="5">
        <v>35</v>
      </c>
      <c r="E19" s="5">
        <f>B19/C19*100</f>
        <v>56.000000000000007</v>
      </c>
      <c r="F19" s="13" t="s">
        <v>70</v>
      </c>
    </row>
    <row r="20" spans="1:6" x14ac:dyDescent="0.3">
      <c r="A20" s="5" t="s">
        <v>59</v>
      </c>
      <c r="B20" s="5">
        <v>74</v>
      </c>
      <c r="C20" s="5">
        <v>100</v>
      </c>
      <c r="D20" s="5">
        <v>35</v>
      </c>
      <c r="E20" s="9">
        <f t="shared" ref="E20:E26" si="1">B20/C20*100</f>
        <v>74</v>
      </c>
      <c r="F20" s="14"/>
    </row>
    <row r="21" spans="1:6" x14ac:dyDescent="0.3">
      <c r="A21" s="5" t="s">
        <v>63</v>
      </c>
      <c r="B21" s="5">
        <v>68</v>
      </c>
      <c r="C21" s="5">
        <v>80</v>
      </c>
      <c r="D21" s="5">
        <v>30</v>
      </c>
      <c r="E21" s="9">
        <f t="shared" si="1"/>
        <v>85</v>
      </c>
      <c r="F21" s="14"/>
    </row>
    <row r="22" spans="1:6" x14ac:dyDescent="0.3">
      <c r="A22" s="5" t="s">
        <v>64</v>
      </c>
      <c r="B22" s="5">
        <v>79</v>
      </c>
      <c r="C22" s="5">
        <v>80</v>
      </c>
      <c r="D22" s="5">
        <v>30</v>
      </c>
      <c r="E22" s="9">
        <f t="shared" si="1"/>
        <v>98.75</v>
      </c>
      <c r="F22" s="14"/>
    </row>
    <row r="23" spans="1:6" x14ac:dyDescent="0.3">
      <c r="A23" s="5" t="s">
        <v>65</v>
      </c>
      <c r="B23" s="5">
        <v>76</v>
      </c>
      <c r="C23" s="5">
        <v>80</v>
      </c>
      <c r="D23" s="5">
        <v>30</v>
      </c>
      <c r="E23" s="9">
        <f t="shared" si="1"/>
        <v>95</v>
      </c>
      <c r="F23" s="14"/>
    </row>
    <row r="24" spans="1:6" x14ac:dyDescent="0.3">
      <c r="A24" s="5" t="s">
        <v>67</v>
      </c>
      <c r="B24" s="5">
        <v>59</v>
      </c>
      <c r="C24" s="5">
        <v>100</v>
      </c>
      <c r="D24" s="5">
        <v>35</v>
      </c>
      <c r="E24" s="9">
        <f t="shared" si="1"/>
        <v>59</v>
      </c>
      <c r="F24" s="14"/>
    </row>
    <row r="25" spans="1:6" x14ac:dyDescent="0.3">
      <c r="A25" s="5" t="s">
        <v>68</v>
      </c>
      <c r="B25" s="5">
        <v>64</v>
      </c>
      <c r="C25" s="5">
        <v>100</v>
      </c>
      <c r="D25" s="5">
        <v>35</v>
      </c>
      <c r="E25" s="9">
        <f t="shared" si="1"/>
        <v>64</v>
      </c>
      <c r="F25" s="14"/>
    </row>
    <row r="26" spans="1:6" x14ac:dyDescent="0.3">
      <c r="A26" s="5" t="s">
        <v>66</v>
      </c>
      <c r="B26" s="5">
        <v>45</v>
      </c>
      <c r="C26" s="5">
        <v>50</v>
      </c>
      <c r="D26" s="5">
        <v>21</v>
      </c>
      <c r="E26" s="9">
        <f>B26/C26*100</f>
        <v>90</v>
      </c>
      <c r="F26" s="14"/>
    </row>
    <row r="27" spans="1:6" x14ac:dyDescent="0.3">
      <c r="A27" s="16" t="s">
        <v>72</v>
      </c>
      <c r="B27" s="16">
        <f>SUM(B19:B26)</f>
        <v>521</v>
      </c>
      <c r="C27" s="16">
        <f>SUM(C19:C26)</f>
        <v>690</v>
      </c>
      <c r="D27" s="16">
        <f>SUM(D19:D26)</f>
        <v>251</v>
      </c>
    </row>
    <row r="29" spans="1:6" x14ac:dyDescent="0.3">
      <c r="A29" s="12" t="s">
        <v>53</v>
      </c>
      <c r="B29" s="12"/>
      <c r="C29" s="12"/>
      <c r="D29" s="12"/>
      <c r="E29" s="12"/>
    </row>
    <row r="30" spans="1:6" x14ac:dyDescent="0.3">
      <c r="A30" s="12"/>
      <c r="B30" s="12"/>
      <c r="C30" s="12"/>
      <c r="D30" s="12"/>
      <c r="E30" s="12"/>
    </row>
    <row r="31" spans="1:6" x14ac:dyDescent="0.3">
      <c r="A31" s="10" t="s">
        <v>46</v>
      </c>
      <c r="B31" s="10" t="s">
        <v>47</v>
      </c>
      <c r="C31" s="10" t="s">
        <v>60</v>
      </c>
      <c r="D31" s="10" t="s">
        <v>48</v>
      </c>
      <c r="E31" s="10" t="s">
        <v>49</v>
      </c>
      <c r="F31" s="10" t="s">
        <v>69</v>
      </c>
    </row>
    <row r="32" spans="1:6" x14ac:dyDescent="0.3">
      <c r="A32" s="5" t="s">
        <v>62</v>
      </c>
      <c r="B32" s="5">
        <v>50</v>
      </c>
      <c r="C32" s="5">
        <v>100</v>
      </c>
      <c r="D32" s="5">
        <v>35</v>
      </c>
      <c r="E32" s="5">
        <f>B32/C32*100</f>
        <v>50</v>
      </c>
      <c r="F32" s="13" t="s">
        <v>71</v>
      </c>
    </row>
    <row r="33" spans="1:6" x14ac:dyDescent="0.3">
      <c r="A33" s="5" t="s">
        <v>59</v>
      </c>
      <c r="B33" s="5">
        <v>23</v>
      </c>
      <c r="C33" s="5">
        <v>100</v>
      </c>
      <c r="D33" s="5">
        <v>35</v>
      </c>
      <c r="E33" s="9">
        <f t="shared" ref="E33:E39" si="2">B33/C33*100</f>
        <v>23</v>
      </c>
      <c r="F33" s="14"/>
    </row>
    <row r="34" spans="1:6" x14ac:dyDescent="0.3">
      <c r="A34" s="5" t="s">
        <v>63</v>
      </c>
      <c r="B34" s="5">
        <v>25</v>
      </c>
      <c r="C34" s="5">
        <v>80</v>
      </c>
      <c r="D34" s="5">
        <v>30</v>
      </c>
      <c r="E34" s="9">
        <f t="shared" si="2"/>
        <v>31.25</v>
      </c>
      <c r="F34" s="14"/>
    </row>
    <row r="35" spans="1:6" x14ac:dyDescent="0.3">
      <c r="A35" s="5" t="s">
        <v>64</v>
      </c>
      <c r="B35" s="5">
        <v>55</v>
      </c>
      <c r="C35" s="5">
        <v>80</v>
      </c>
      <c r="D35" s="5">
        <v>30</v>
      </c>
      <c r="E35" s="9">
        <f t="shared" si="2"/>
        <v>68.75</v>
      </c>
      <c r="F35" s="14"/>
    </row>
    <row r="36" spans="1:6" x14ac:dyDescent="0.3">
      <c r="A36" s="5" t="s">
        <v>65</v>
      </c>
      <c r="B36" s="5">
        <v>62</v>
      </c>
      <c r="C36" s="5">
        <v>80</v>
      </c>
      <c r="D36" s="5">
        <v>30</v>
      </c>
      <c r="E36" s="9">
        <f t="shared" si="2"/>
        <v>77.5</v>
      </c>
      <c r="F36" s="14"/>
    </row>
    <row r="37" spans="1:6" x14ac:dyDescent="0.3">
      <c r="A37" s="5" t="s">
        <v>67</v>
      </c>
      <c r="B37" s="5">
        <v>39</v>
      </c>
      <c r="C37" s="5">
        <v>100</v>
      </c>
      <c r="D37" s="5">
        <v>35</v>
      </c>
      <c r="E37" s="9">
        <f t="shared" si="2"/>
        <v>39</v>
      </c>
      <c r="F37" s="14"/>
    </row>
    <row r="38" spans="1:6" x14ac:dyDescent="0.3">
      <c r="A38" s="5" t="s">
        <v>68</v>
      </c>
      <c r="B38" s="5">
        <v>43</v>
      </c>
      <c r="C38" s="5">
        <v>100</v>
      </c>
      <c r="D38" s="5">
        <v>35</v>
      </c>
      <c r="E38" s="9">
        <f t="shared" si="2"/>
        <v>43</v>
      </c>
      <c r="F38" s="14"/>
    </row>
    <row r="39" spans="1:6" x14ac:dyDescent="0.3">
      <c r="A39" s="5" t="s">
        <v>66</v>
      </c>
      <c r="B39" s="5">
        <v>40</v>
      </c>
      <c r="C39" s="5">
        <v>50</v>
      </c>
      <c r="D39" s="5">
        <v>21</v>
      </c>
      <c r="E39" s="9">
        <f>B39/C39*100</f>
        <v>80</v>
      </c>
      <c r="F39" s="14"/>
    </row>
    <row r="40" spans="1:6" x14ac:dyDescent="0.3">
      <c r="A40" s="16" t="s">
        <v>72</v>
      </c>
      <c r="B40" s="16">
        <f>SUM(B32:B39)</f>
        <v>337</v>
      </c>
      <c r="C40" s="16">
        <f>SUM(C32:C39)</f>
        <v>690</v>
      </c>
      <c r="D40" s="16">
        <f>SUM(D32:D39)</f>
        <v>251</v>
      </c>
      <c r="F40" s="15"/>
    </row>
    <row r="42" spans="1:6" x14ac:dyDescent="0.3">
      <c r="A42" s="12" t="s">
        <v>50</v>
      </c>
      <c r="B42" s="12"/>
      <c r="C42" s="12"/>
      <c r="D42" s="12"/>
      <c r="E42" s="12"/>
    </row>
    <row r="43" spans="1:6" x14ac:dyDescent="0.3">
      <c r="A43" s="12"/>
      <c r="B43" s="12"/>
      <c r="C43" s="12"/>
      <c r="D43" s="12"/>
      <c r="E43" s="12"/>
    </row>
    <row r="44" spans="1:6" x14ac:dyDescent="0.3">
      <c r="A44" s="10" t="s">
        <v>46</v>
      </c>
      <c r="B44" s="10" t="s">
        <v>47</v>
      </c>
      <c r="C44" s="10" t="s">
        <v>60</v>
      </c>
      <c r="D44" s="10" t="s">
        <v>48</v>
      </c>
      <c r="E44" s="10" t="s">
        <v>49</v>
      </c>
      <c r="F44" s="10" t="s">
        <v>69</v>
      </c>
    </row>
    <row r="45" spans="1:6" x14ac:dyDescent="0.3">
      <c r="A45" s="5" t="s">
        <v>62</v>
      </c>
      <c r="B45" s="5">
        <v>12</v>
      </c>
      <c r="C45" s="5">
        <v>100</v>
      </c>
      <c r="D45" s="5">
        <v>35</v>
      </c>
      <c r="E45" s="5">
        <f>B45/C45*100</f>
        <v>12</v>
      </c>
      <c r="F45" s="13" t="s">
        <v>73</v>
      </c>
    </row>
    <row r="46" spans="1:6" x14ac:dyDescent="0.3">
      <c r="A46" s="5" t="s">
        <v>59</v>
      </c>
      <c r="B46" s="5">
        <v>14</v>
      </c>
      <c r="C46" s="5">
        <v>100</v>
      </c>
      <c r="D46" s="5">
        <v>35</v>
      </c>
      <c r="E46" s="9">
        <f t="shared" ref="E46:E52" si="3">B46/C46*100</f>
        <v>14.000000000000002</v>
      </c>
      <c r="F46" s="14"/>
    </row>
    <row r="47" spans="1:6" x14ac:dyDescent="0.3">
      <c r="A47" s="5" t="s">
        <v>63</v>
      </c>
      <c r="B47" s="5">
        <v>25</v>
      </c>
      <c r="C47" s="5">
        <v>80</v>
      </c>
      <c r="D47" s="5">
        <v>30</v>
      </c>
      <c r="E47" s="9">
        <f t="shared" si="3"/>
        <v>31.25</v>
      </c>
      <c r="F47" s="14"/>
    </row>
    <row r="48" spans="1:6" x14ac:dyDescent="0.3">
      <c r="A48" s="5" t="s">
        <v>64</v>
      </c>
      <c r="B48" s="5">
        <v>56</v>
      </c>
      <c r="C48" s="5">
        <v>80</v>
      </c>
      <c r="D48" s="5">
        <v>30</v>
      </c>
      <c r="E48" s="9">
        <f t="shared" si="3"/>
        <v>70</v>
      </c>
      <c r="F48" s="14"/>
    </row>
    <row r="49" spans="1:6" x14ac:dyDescent="0.3">
      <c r="A49" s="5" t="s">
        <v>65</v>
      </c>
      <c r="B49" s="5">
        <v>39</v>
      </c>
      <c r="C49" s="5">
        <v>80</v>
      </c>
      <c r="D49" s="5">
        <v>30</v>
      </c>
      <c r="E49" s="9">
        <f t="shared" si="3"/>
        <v>48.75</v>
      </c>
      <c r="F49" s="14"/>
    </row>
    <row r="50" spans="1:6" x14ac:dyDescent="0.3">
      <c r="A50" s="5" t="s">
        <v>67</v>
      </c>
      <c r="B50" s="5">
        <v>33</v>
      </c>
      <c r="C50" s="5">
        <v>100</v>
      </c>
      <c r="D50" s="5">
        <v>35</v>
      </c>
      <c r="E50" s="9">
        <f t="shared" si="3"/>
        <v>33</v>
      </c>
      <c r="F50" s="14"/>
    </row>
    <row r="51" spans="1:6" x14ac:dyDescent="0.3">
      <c r="A51" s="5" t="s">
        <v>68</v>
      </c>
      <c r="B51" s="5">
        <v>45</v>
      </c>
      <c r="C51" s="5">
        <v>100</v>
      </c>
      <c r="D51" s="5">
        <v>35</v>
      </c>
      <c r="E51" s="9">
        <f t="shared" si="3"/>
        <v>45</v>
      </c>
      <c r="F51" s="14"/>
    </row>
    <row r="52" spans="1:6" x14ac:dyDescent="0.3">
      <c r="A52" s="5" t="s">
        <v>66</v>
      </c>
      <c r="B52" s="5">
        <v>32</v>
      </c>
      <c r="C52" s="5">
        <v>50</v>
      </c>
      <c r="D52" s="5">
        <v>21</v>
      </c>
      <c r="E52" s="9">
        <f>B52/C52*100</f>
        <v>64</v>
      </c>
      <c r="F52" s="14"/>
    </row>
    <row r="53" spans="1:6" x14ac:dyDescent="0.3">
      <c r="A53" s="16" t="s">
        <v>72</v>
      </c>
      <c r="B53" s="16">
        <f>SUM(B45:B52)</f>
        <v>256</v>
      </c>
      <c r="C53" s="16">
        <f>SUM(C45:C52)</f>
        <v>690</v>
      </c>
      <c r="D53" s="16">
        <f>SUM(D45:D52)</f>
        <v>251</v>
      </c>
    </row>
  </sheetData>
  <mergeCells count="6">
    <mergeCell ref="F45:F52"/>
    <mergeCell ref="A16:E17"/>
    <mergeCell ref="A29:E30"/>
    <mergeCell ref="A42:E43"/>
    <mergeCell ref="F19:F26"/>
    <mergeCell ref="F32:F39"/>
  </mergeCells>
  <conditionalFormatting sqref="F2:F12">
    <cfRule type="cellIs" dxfId="8" priority="7" operator="equal">
      <formula>35</formula>
    </cfRule>
    <cfRule type="cellIs" dxfId="7" priority="8" operator="lessThan">
      <formula>35</formula>
    </cfRule>
    <cfRule type="cellIs" dxfId="6" priority="9" operator="greaterThanOrEqual">
      <formula>35</formula>
    </cfRule>
  </conditionalFormatting>
  <conditionalFormatting sqref="E19:E26">
    <cfRule type="cellIs" dxfId="5" priority="5" operator="lessThan">
      <formula>35</formula>
    </cfRule>
    <cfRule type="cellIs" dxfId="4" priority="6" operator="greaterThan">
      <formula>35</formula>
    </cfRule>
  </conditionalFormatting>
  <conditionalFormatting sqref="E32:E39">
    <cfRule type="cellIs" dxfId="3" priority="3" operator="lessThan">
      <formula>35</formula>
    </cfRule>
    <cfRule type="cellIs" dxfId="2" priority="4" operator="greaterThan">
      <formula>35</formula>
    </cfRule>
  </conditionalFormatting>
  <conditionalFormatting sqref="E45:E52">
    <cfRule type="cellIs" dxfId="1" priority="1" operator="lessThan">
      <formula>35</formula>
    </cfRule>
    <cfRule type="cellIs" dxfId="0" priority="2" operator="greaterThan">
      <formula>35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Beena Pramanick</dc:creator>
  <cp:lastModifiedBy>Beena Pramanick</cp:lastModifiedBy>
  <dcterms:created xsi:type="dcterms:W3CDTF">2023-02-11T15:01:46Z</dcterms:created>
  <dcterms:modified xsi:type="dcterms:W3CDTF">2023-08-08T15:31:32Z</dcterms:modified>
</cp:coreProperties>
</file>